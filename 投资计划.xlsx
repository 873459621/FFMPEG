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长线持仓" sheetId="1" r:id="rId1"/>
    <sheet name="对照表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<sst xmlns="http://schemas.openxmlformats.org/spreadsheetml/2006/main" count="191" uniqueCount="176">
  <si>
    <t>代码</t>
  </si>
  <si>
    <t>名称</t>
  </si>
  <si>
    <t>板块</t>
  </si>
  <si>
    <t>评星</t>
  </si>
  <si>
    <t>星权重</t>
  </si>
  <si>
    <t>评分</t>
  </si>
  <si>
    <t>分权重</t>
  </si>
  <si>
    <t>业绩</t>
  </si>
  <si>
    <t>行业</t>
  </si>
  <si>
    <t>情绪</t>
  </si>
  <si>
    <t>预期</t>
  </si>
  <si>
    <t>权重</t>
  </si>
  <si>
    <t>评分日期</t>
  </si>
  <si>
    <t>持仓</t>
  </si>
  <si>
    <t>目标</t>
  </si>
  <si>
    <t>满仓差值</t>
  </si>
  <si>
    <t>持仓差值</t>
  </si>
  <si>
    <t>000858</t>
  </si>
  <si>
    <t>五粮液</t>
  </si>
  <si>
    <t>白酒</t>
  </si>
  <si>
    <t>爱美客</t>
  </si>
  <si>
    <t>医美、医疗器械</t>
  </si>
  <si>
    <t>公牛集团</t>
  </si>
  <si>
    <t>储能</t>
  </si>
  <si>
    <t>迈瑞医疗</t>
  </si>
  <si>
    <t>医疗器械</t>
  </si>
  <si>
    <t>健帆生物</t>
  </si>
  <si>
    <t>珀莱雅</t>
  </si>
  <si>
    <t>化妆品</t>
  </si>
  <si>
    <t>兴齐眼药</t>
  </si>
  <si>
    <t>医药</t>
  </si>
  <si>
    <t>603259</t>
  </si>
  <si>
    <t>药明康德</t>
  </si>
  <si>
    <t>CRO、医药</t>
  </si>
  <si>
    <t>亿联网络</t>
  </si>
  <si>
    <t>云办公</t>
  </si>
  <si>
    <t>605117</t>
  </si>
  <si>
    <t>德业股份</t>
  </si>
  <si>
    <t>光伏</t>
  </si>
  <si>
    <t>603087</t>
  </si>
  <si>
    <t>甘李药业</t>
  </si>
  <si>
    <t>减肥药、医药</t>
  </si>
  <si>
    <t>002352</t>
  </si>
  <si>
    <t>顺丰控股</t>
  </si>
  <si>
    <t>物流</t>
  </si>
  <si>
    <t>002920</t>
  </si>
  <si>
    <t>德赛西威</t>
  </si>
  <si>
    <t>智能座驾、自驾</t>
  </si>
  <si>
    <t>605305</t>
  </si>
  <si>
    <t>中际联合</t>
  </si>
  <si>
    <t>风电</t>
  </si>
  <si>
    <t>300750</t>
  </si>
  <si>
    <t>宁德时代</t>
  </si>
  <si>
    <t>电池</t>
  </si>
  <si>
    <t>600276</t>
  </si>
  <si>
    <t>恒瑞医药</t>
  </si>
  <si>
    <t>创新药、医药</t>
  </si>
  <si>
    <t>002594</t>
  </si>
  <si>
    <t>比亚迪</t>
  </si>
  <si>
    <t>汽车、电池</t>
  </si>
  <si>
    <t>002428</t>
  </si>
  <si>
    <t>云南锗业</t>
  </si>
  <si>
    <t>小金属</t>
  </si>
  <si>
    <t>601020</t>
  </si>
  <si>
    <t>华钰矿业</t>
  </si>
  <si>
    <t>688114</t>
  </si>
  <si>
    <t>华大智造</t>
  </si>
  <si>
    <t>AI、医疗</t>
  </si>
  <si>
    <t>002167</t>
  </si>
  <si>
    <t>东方锆业</t>
  </si>
  <si>
    <t>600343</t>
  </si>
  <si>
    <t>航天动力</t>
  </si>
  <si>
    <t>航天</t>
  </si>
  <si>
    <t>513180</t>
  </si>
  <si>
    <t>恒生科技</t>
  </si>
  <si>
    <t>AI、科技</t>
  </si>
  <si>
    <t>603288</t>
  </si>
  <si>
    <t>海天味业</t>
  </si>
  <si>
    <t>食品</t>
  </si>
  <si>
    <t>欧派家居</t>
  </si>
  <si>
    <t>家居</t>
  </si>
  <si>
    <t>600763</t>
  </si>
  <si>
    <t>通策医疗</t>
  </si>
  <si>
    <t>医疗</t>
  </si>
  <si>
    <t>300015</t>
  </si>
  <si>
    <t>爱尔眼科</t>
  </si>
  <si>
    <t>002947</t>
  </si>
  <si>
    <t>恒铭达</t>
  </si>
  <si>
    <t>消费电子</t>
  </si>
  <si>
    <t>300558</t>
  </si>
  <si>
    <t>贝达药业</t>
  </si>
  <si>
    <t>300595</t>
  </si>
  <si>
    <t>欧普康视</t>
  </si>
  <si>
    <t>002821</t>
  </si>
  <si>
    <t>凯莱英</t>
  </si>
  <si>
    <t>688050</t>
  </si>
  <si>
    <t>爱博医疗</t>
  </si>
  <si>
    <t>603501</t>
  </si>
  <si>
    <t>豪威集团</t>
  </si>
  <si>
    <t>半导体</t>
  </si>
  <si>
    <t>603129</t>
  </si>
  <si>
    <t>春风动力</t>
  </si>
  <si>
    <t>两轮车</t>
  </si>
  <si>
    <t>002558</t>
  </si>
  <si>
    <t>巨人网络</t>
  </si>
  <si>
    <t>游戏</t>
  </si>
  <si>
    <t>601888</t>
  </si>
  <si>
    <t>中国中免</t>
  </si>
  <si>
    <t>免税</t>
  </si>
  <si>
    <t>002690</t>
  </si>
  <si>
    <t>美亚光电</t>
  </si>
  <si>
    <t>机器视觉</t>
  </si>
  <si>
    <t>300724</t>
  </si>
  <si>
    <t>捷佳伟创</t>
  </si>
  <si>
    <t>002714</t>
  </si>
  <si>
    <t>牧原股份</t>
  </si>
  <si>
    <t>猪肉</t>
  </si>
  <si>
    <t>000513</t>
  </si>
  <si>
    <t>丽珠集团</t>
  </si>
  <si>
    <t>002032</t>
  </si>
  <si>
    <t>苏泊尔</t>
  </si>
  <si>
    <t>电器</t>
  </si>
  <si>
    <t>000983</t>
  </si>
  <si>
    <t>山西焦煤</t>
  </si>
  <si>
    <t>煤炭</t>
  </si>
  <si>
    <t>002773</t>
  </si>
  <si>
    <t>康弘药业</t>
  </si>
  <si>
    <t>603676</t>
  </si>
  <si>
    <t>卫信康</t>
  </si>
  <si>
    <t>中国平安</t>
  </si>
  <si>
    <t>创业板</t>
  </si>
  <si>
    <t>恒生医疗</t>
  </si>
  <si>
    <t>港股创新药</t>
  </si>
  <si>
    <t>证券</t>
  </si>
  <si>
    <t>603596</t>
  </si>
  <si>
    <t>伯特利</t>
  </si>
  <si>
    <t>汽车底盘</t>
  </si>
  <si>
    <t>603279</t>
  </si>
  <si>
    <t>景津装备</t>
  </si>
  <si>
    <t>002648</t>
  </si>
  <si>
    <t>卫星化学</t>
  </si>
  <si>
    <t>福斯达</t>
  </si>
  <si>
    <t>002847</t>
  </si>
  <si>
    <t>盐津铺子</t>
  </si>
  <si>
    <t>000538</t>
  </si>
  <si>
    <t>云南白药</t>
  </si>
  <si>
    <t>603477</t>
  </si>
  <si>
    <t>巨星农牧</t>
  </si>
  <si>
    <t>000596</t>
  </si>
  <si>
    <t>古井贡酒</t>
  </si>
  <si>
    <t>601991</t>
  </si>
  <si>
    <t>大唐发电</t>
  </si>
  <si>
    <t>06862</t>
  </si>
  <si>
    <t>海底捞</t>
  </si>
  <si>
    <t>02313</t>
  </si>
  <si>
    <t>申洲国际</t>
  </si>
  <si>
    <t>03690</t>
  </si>
  <si>
    <t>美团</t>
  </si>
  <si>
    <t>02020</t>
  </si>
  <si>
    <t>安踏体育</t>
  </si>
  <si>
    <t>00175</t>
  </si>
  <si>
    <t>吉利汽车</t>
  </si>
  <si>
    <t>21-40</t>
  </si>
  <si>
    <t>41-50</t>
  </si>
  <si>
    <t>51-75</t>
  </si>
  <si>
    <t>76-100</t>
  </si>
  <si>
    <t>101-125</t>
  </si>
  <si>
    <t>126-150</t>
  </si>
  <si>
    <t>151-175</t>
  </si>
  <si>
    <t>176-200</t>
  </si>
  <si>
    <t>201-225</t>
  </si>
  <si>
    <t>226-250</t>
  </si>
  <si>
    <t>251-275</t>
  </si>
  <si>
    <t>276-300</t>
  </si>
  <si>
    <t>301-325</t>
  </si>
  <si>
    <t>326-350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</si>
</sst>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 "/>
    <numFmt numFmtId="178" formatCode="yyyy&quot;年&quot;m&quot;月&quot;d&quot;日&quot;;@"/>
    <numFmt numFmtId="179" formatCode="0.00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left" vertical="center"/>
    </xf>
    <xf numFmtId="179" fontId="0" fillId="0" borderId="0" xfId="0" applyNumberFormat="1" applyFill="1" applyAlignment="1">
      <alignment horizontal="left" vertical="center"/>
    </xf>
    <xf numFmtId="179" fontId="0" fillId="0" borderId="0" xfId="0" applyNumberFormat="1" applyFill="1" applyAlignment="1">
      <alignment horizontal="left" vertical="center"/>
    </xf>
    <xf numFmtId="179" fontId="0" fillId="4" borderId="0" xfId="0" applyNumberFormat="1" applyFill="1" applyAlignment="1">
      <alignment horizontal="left" vertical="center"/>
    </xf>
    <xf numFmtId="176" fontId="0" fillId="4" borderId="0" xfId="0" applyNumberForma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179" fontId="1" fillId="0" borderId="0" xfId="0" applyNumberFormat="1" applyFont="1" applyFill="1" applyAlignment="1">
      <alignment horizontal="left" vertical="center"/>
    </xf>
    <xf numFmtId="179" fontId="0" fillId="6" borderId="0" xfId="0" applyNumberFormat="1" applyFill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left" vertical="center"/>
    </xf>
    <xf numFmtId="49" fontId="0" fillId="3" borderId="0" xfId="0" applyNumberForma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177" fontId="0" fillId="3" borderId="0" xfId="0" applyNumberFormat="1" applyFill="1" applyAlignment="1">
      <alignment horizontal="center" vertical="center"/>
    </xf>
    <xf numFmtId="178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left" vertical="center"/>
    </xf>
    <xf numFmtId="179" fontId="1" fillId="3" borderId="0" xfId="0" applyNumberFormat="1" applyFont="1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49" fontId="0" fillId="0" borderId="0" xfId="0" applyNumberFormat="1" applyAlignment="1" quotePrefix="1">
      <alignment horizontal="center" vertical="center"/>
    </xf>
    <xf numFmtId="49" fontId="0" fillId="3" borderId="0" xfId="0" applyNumberFormat="1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abSelected="1" zoomScale="115" zoomScaleNormal="115" topLeftCell="A13" workbookViewId="0">
      <selection activeCell="Q39" sqref="Q39"/>
    </sheetView>
  </sheetViews>
  <sheetFormatPr defaultColWidth="9" defaultRowHeight="13.5"/>
  <cols>
    <col min="1" max="1" width="10.8583333333333" style="3" customWidth="1"/>
    <col min="2" max="2" width="11.3416666666667" style="4" customWidth="1"/>
    <col min="3" max="3" width="17.0166666666667" style="5" customWidth="1"/>
    <col min="4" max="4" width="9.41666666666667" style="5" customWidth="1"/>
    <col min="5" max="5" width="7.79166666666667" style="6" customWidth="1"/>
    <col min="6" max="6" width="8.55833333333333" style="5" customWidth="1"/>
    <col min="7" max="7" width="8.16666666666667" style="6" customWidth="1"/>
    <col min="8" max="8" width="7.975" style="6" customWidth="1"/>
    <col min="9" max="9" width="4.04166666666667" style="6" customWidth="1"/>
    <col min="10" max="10" width="4.31666666666667" style="6" customWidth="1"/>
    <col min="11" max="11" width="7.69166666666667" style="6" customWidth="1"/>
    <col min="12" max="12" width="9.70833333333333" style="6" customWidth="1"/>
    <col min="13" max="13" width="17" style="7" customWidth="1"/>
    <col min="14" max="15" width="9.325" style="8" customWidth="1"/>
    <col min="16" max="16" width="9.125" style="8" customWidth="1"/>
    <col min="17" max="17" width="9" style="9"/>
  </cols>
  <sheetData>
    <row r="1" spans="1:17">
      <c r="A1" s="3" t="s">
        <v>0</v>
      </c>
      <c r="B1" s="4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8" t="s">
        <v>14</v>
      </c>
      <c r="P1" s="8" t="s">
        <v>15</v>
      </c>
      <c r="Q1" s="9" t="s">
        <v>16</v>
      </c>
    </row>
    <row r="2" spans="1:17">
      <c r="A2" s="31" t="s">
        <v>17</v>
      </c>
      <c r="B2" s="4" t="s">
        <v>18</v>
      </c>
      <c r="C2" s="5" t="s">
        <v>19</v>
      </c>
      <c r="D2" s="5">
        <v>12.9</v>
      </c>
      <c r="E2" s="6">
        <v>2</v>
      </c>
      <c r="F2" s="5">
        <v>277</v>
      </c>
      <c r="G2" s="6">
        <v>12</v>
      </c>
      <c r="H2" s="6">
        <v>-2</v>
      </c>
      <c r="K2" s="6">
        <v>-2</v>
      </c>
      <c r="L2" s="6">
        <f>E2+G2+J2+H2+I2+K2</f>
        <v>10</v>
      </c>
      <c r="M2" s="7">
        <v>45896</v>
      </c>
      <c r="N2" s="9">
        <v>22.42</v>
      </c>
      <c r="O2" s="9">
        <f>L2*2</f>
        <v>20</v>
      </c>
      <c r="P2" s="10">
        <f>O2-N2</f>
        <v>-2.42</v>
      </c>
      <c r="Q2" s="11">
        <f>O2*0.75-N2</f>
        <v>-7.42</v>
      </c>
    </row>
    <row r="3" spans="1:17">
      <c r="A3" s="3">
        <v>300896</v>
      </c>
      <c r="B3" s="4" t="s">
        <v>20</v>
      </c>
      <c r="C3" s="12" t="s">
        <v>21</v>
      </c>
      <c r="D3" s="5">
        <v>11.7</v>
      </c>
      <c r="E3" s="6">
        <v>2</v>
      </c>
      <c r="F3" s="5">
        <v>312</v>
      </c>
      <c r="G3" s="6">
        <v>13</v>
      </c>
      <c r="H3" s="6">
        <v>-2</v>
      </c>
      <c r="L3" s="6">
        <f>E3+G3+J3+H3+I3+K3</f>
        <v>13</v>
      </c>
      <c r="M3" s="7">
        <v>45888</v>
      </c>
      <c r="N3" s="9">
        <v>21.65</v>
      </c>
      <c r="O3" s="8">
        <f>L3*2</f>
        <v>26</v>
      </c>
      <c r="P3" s="9">
        <f>O3-N3</f>
        <v>4.35</v>
      </c>
      <c r="Q3" s="11">
        <f>O3*0.75-N3</f>
        <v>-2.15</v>
      </c>
    </row>
    <row r="4" spans="1:17">
      <c r="A4" s="3">
        <v>603195</v>
      </c>
      <c r="B4" s="4" t="s">
        <v>22</v>
      </c>
      <c r="C4" s="5" t="s">
        <v>23</v>
      </c>
      <c r="D4" s="5">
        <v>7.8</v>
      </c>
      <c r="E4" s="6">
        <v>1</v>
      </c>
      <c r="F4" s="5">
        <v>124</v>
      </c>
      <c r="G4" s="6">
        <v>5</v>
      </c>
      <c r="H4" s="6">
        <v>-1</v>
      </c>
      <c r="L4" s="6">
        <f>E4+G4+J4+H4+I4+K4</f>
        <v>5</v>
      </c>
      <c r="M4" s="7">
        <v>45898</v>
      </c>
      <c r="N4" s="8">
        <v>16.08</v>
      </c>
      <c r="O4" s="8">
        <f>L4*2</f>
        <v>10</v>
      </c>
      <c r="P4" s="9">
        <f>O4-N4</f>
        <v>-6.08</v>
      </c>
      <c r="Q4" s="11">
        <f>O4*0.75-N4</f>
        <v>-8.58</v>
      </c>
    </row>
    <row r="5" spans="1:17">
      <c r="A5" s="3">
        <v>300760</v>
      </c>
      <c r="B5" s="4" t="s">
        <v>24</v>
      </c>
      <c r="C5" s="12" t="s">
        <v>25</v>
      </c>
      <c r="D5" s="5">
        <v>6.3</v>
      </c>
      <c r="E5" s="6">
        <v>1</v>
      </c>
      <c r="F5" s="5">
        <v>79</v>
      </c>
      <c r="G5" s="6">
        <v>4</v>
      </c>
      <c r="H5" s="6">
        <v>-2</v>
      </c>
      <c r="L5" s="6">
        <f>E5+G5+J5+H5+I5+K5</f>
        <v>3</v>
      </c>
      <c r="M5" s="7">
        <v>45904</v>
      </c>
      <c r="N5" s="9">
        <v>11.65</v>
      </c>
      <c r="O5" s="8">
        <f>L5*2</f>
        <v>6</v>
      </c>
      <c r="P5" s="9">
        <f>O5-N5</f>
        <v>-5.65</v>
      </c>
      <c r="Q5" s="11">
        <f>O5*0.75-N5</f>
        <v>-7.15</v>
      </c>
    </row>
    <row r="6" spans="1:17">
      <c r="A6" s="3">
        <v>300529</v>
      </c>
      <c r="B6" s="4" t="s">
        <v>26</v>
      </c>
      <c r="C6" s="12" t="s">
        <v>25</v>
      </c>
      <c r="D6" s="5">
        <v>10.8</v>
      </c>
      <c r="E6" s="6">
        <v>2</v>
      </c>
      <c r="F6" s="5">
        <v>119</v>
      </c>
      <c r="G6" s="6">
        <v>5</v>
      </c>
      <c r="H6" s="6">
        <v>-2</v>
      </c>
      <c r="L6" s="6">
        <f>E6+G6+J6+H6+I6+K6</f>
        <v>5</v>
      </c>
      <c r="M6" s="7">
        <v>45891</v>
      </c>
      <c r="N6" s="8">
        <v>16.36</v>
      </c>
      <c r="O6" s="8">
        <f>L6*2</f>
        <v>10</v>
      </c>
      <c r="P6" s="9">
        <f>O6-N6</f>
        <v>-6.36</v>
      </c>
      <c r="Q6" s="11">
        <f>O6*0.75-N6</f>
        <v>-8.86</v>
      </c>
    </row>
    <row r="7" spans="1:17">
      <c r="A7" s="3">
        <v>603605</v>
      </c>
      <c r="B7" s="4" t="s">
        <v>27</v>
      </c>
      <c r="C7" s="5" t="s">
        <v>28</v>
      </c>
      <c r="D7" s="5">
        <v>9</v>
      </c>
      <c r="E7" s="6">
        <v>2</v>
      </c>
      <c r="F7" s="5">
        <v>80</v>
      </c>
      <c r="G7" s="6">
        <v>4</v>
      </c>
      <c r="H7" s="6">
        <v>-1</v>
      </c>
      <c r="L7" s="6">
        <f>E7+G7+J7+H7+I7+K7</f>
        <v>5</v>
      </c>
      <c r="M7" s="7">
        <v>45838</v>
      </c>
      <c r="N7" s="8">
        <v>14.18</v>
      </c>
      <c r="O7" s="8">
        <f>L7*2</f>
        <v>10</v>
      </c>
      <c r="P7" s="9">
        <f>O7-N7</f>
        <v>-4.18</v>
      </c>
      <c r="Q7" s="11">
        <f>O7*0.75-N7</f>
        <v>-6.68</v>
      </c>
    </row>
    <row r="8" spans="1:17">
      <c r="A8" s="3">
        <v>300573</v>
      </c>
      <c r="B8" s="4" t="s">
        <v>29</v>
      </c>
      <c r="C8" s="13" t="s">
        <v>30</v>
      </c>
      <c r="D8" s="5">
        <v>9.7</v>
      </c>
      <c r="E8" s="6">
        <v>2</v>
      </c>
      <c r="F8" s="5">
        <v>71</v>
      </c>
      <c r="G8" s="6">
        <v>3</v>
      </c>
      <c r="H8" s="6">
        <v>1</v>
      </c>
      <c r="K8" s="6">
        <v>1</v>
      </c>
      <c r="L8" s="6">
        <f>E8+G8+J8+H8+I8+K8</f>
        <v>7</v>
      </c>
      <c r="M8" s="7">
        <v>45838</v>
      </c>
      <c r="N8" s="8">
        <v>15.98</v>
      </c>
      <c r="O8" s="9">
        <f>L8*2</f>
        <v>14</v>
      </c>
      <c r="P8" s="9">
        <f>O8-N8</f>
        <v>-1.98</v>
      </c>
      <c r="Q8" s="11">
        <f>O8*0.75-N8</f>
        <v>-5.48</v>
      </c>
    </row>
    <row r="9" spans="1:17">
      <c r="A9" s="3" t="s">
        <v>31</v>
      </c>
      <c r="B9" s="4" t="s">
        <v>32</v>
      </c>
      <c r="C9" s="13" t="s">
        <v>33</v>
      </c>
      <c r="D9" s="5">
        <v>9.4</v>
      </c>
      <c r="E9" s="6">
        <v>2</v>
      </c>
      <c r="F9" s="5">
        <v>104</v>
      </c>
      <c r="G9" s="6">
        <v>5</v>
      </c>
      <c r="H9" s="6">
        <v>1</v>
      </c>
      <c r="K9" s="6">
        <v>1</v>
      </c>
      <c r="L9" s="6">
        <f>E9+G9+J9+H9+I9+K9</f>
        <v>9</v>
      </c>
      <c r="M9" s="7">
        <v>45901</v>
      </c>
      <c r="N9" s="8">
        <v>20.52</v>
      </c>
      <c r="O9" s="9">
        <f>L9*2</f>
        <v>18</v>
      </c>
      <c r="P9" s="9">
        <f>O9-N9</f>
        <v>-2.52</v>
      </c>
      <c r="Q9" s="11">
        <f>O9*0.75-N9</f>
        <v>-7.02</v>
      </c>
    </row>
    <row r="10" spans="1:17">
      <c r="A10" s="3">
        <v>300628</v>
      </c>
      <c r="B10" s="4" t="s">
        <v>34</v>
      </c>
      <c r="C10" s="5" t="s">
        <v>35</v>
      </c>
      <c r="D10" s="5">
        <v>12.1</v>
      </c>
      <c r="E10" s="6">
        <v>2</v>
      </c>
      <c r="F10" s="5">
        <v>87</v>
      </c>
      <c r="G10" s="6">
        <v>4</v>
      </c>
      <c r="H10" s="6"/>
      <c r="L10" s="6">
        <f>E10+G10+J10+H10+I10+K10</f>
        <v>6</v>
      </c>
      <c r="M10" s="7">
        <v>45868</v>
      </c>
      <c r="N10" s="8">
        <v>10.03</v>
      </c>
      <c r="O10" s="9">
        <f>L10*2</f>
        <v>12</v>
      </c>
      <c r="P10" s="9">
        <f>O10-N10</f>
        <v>1.97</v>
      </c>
      <c r="Q10" s="10">
        <f>O10*0.75-N10</f>
        <v>-1.03</v>
      </c>
    </row>
    <row r="11" spans="1:17">
      <c r="A11" s="3" t="s">
        <v>36</v>
      </c>
      <c r="B11" s="4" t="s">
        <v>37</v>
      </c>
      <c r="C11" s="5" t="s">
        <v>38</v>
      </c>
      <c r="D11" s="5">
        <v>10.8</v>
      </c>
      <c r="E11" s="6">
        <v>2</v>
      </c>
      <c r="F11" s="5">
        <v>117</v>
      </c>
      <c r="G11" s="6">
        <v>5</v>
      </c>
      <c r="H11" s="6">
        <v>1</v>
      </c>
      <c r="K11" s="6">
        <v>1</v>
      </c>
      <c r="L11" s="6">
        <f>E11+G11+J11+H11+I11+K11</f>
        <v>9</v>
      </c>
      <c r="M11" s="7">
        <v>45883</v>
      </c>
      <c r="N11" s="8">
        <v>18.15</v>
      </c>
      <c r="O11" s="9">
        <f>L11*2</f>
        <v>18</v>
      </c>
      <c r="P11" s="9">
        <f>O11-N11</f>
        <v>-0.149999999999999</v>
      </c>
      <c r="Q11" s="11">
        <f>O11*0.75-N11</f>
        <v>-4.65</v>
      </c>
    </row>
    <row r="12" customFormat="1" spans="1:17">
      <c r="A12" s="3" t="s">
        <v>39</v>
      </c>
      <c r="B12" s="4" t="s">
        <v>40</v>
      </c>
      <c r="C12" s="13" t="s">
        <v>41</v>
      </c>
      <c r="D12" s="5">
        <v>9.7</v>
      </c>
      <c r="E12" s="6">
        <v>2</v>
      </c>
      <c r="F12" s="5">
        <v>103</v>
      </c>
      <c r="G12" s="6">
        <v>5</v>
      </c>
      <c r="H12" s="6">
        <v>1</v>
      </c>
      <c r="I12" s="6"/>
      <c r="J12" s="6"/>
      <c r="K12" s="6">
        <v>1</v>
      </c>
      <c r="L12" s="6">
        <f>E12+G12+J12+H12+I12+K12</f>
        <v>9</v>
      </c>
      <c r="M12" s="7">
        <v>45886</v>
      </c>
      <c r="N12" s="8">
        <v>17.85</v>
      </c>
      <c r="O12" s="9">
        <f>L12*2</f>
        <v>18</v>
      </c>
      <c r="P12" s="9">
        <f>O12-N12</f>
        <v>0.149999999999999</v>
      </c>
      <c r="Q12" s="11">
        <f>O12*0.75-N12</f>
        <v>-4.35</v>
      </c>
    </row>
    <row r="13" spans="1:17">
      <c r="A13" s="3" t="s">
        <v>42</v>
      </c>
      <c r="B13" s="4" t="s">
        <v>43</v>
      </c>
      <c r="C13" s="5" t="s">
        <v>44</v>
      </c>
      <c r="D13" s="5">
        <v>8.8</v>
      </c>
      <c r="E13" s="6">
        <v>1</v>
      </c>
      <c r="F13" s="5">
        <v>191</v>
      </c>
      <c r="G13" s="6">
        <v>8</v>
      </c>
      <c r="L13" s="6">
        <f>E13+G13+J13+H13+I13+K13</f>
        <v>9</v>
      </c>
      <c r="M13" s="7">
        <v>45898</v>
      </c>
      <c r="N13" s="8">
        <v>17.96</v>
      </c>
      <c r="O13" s="9">
        <f>L13*2</f>
        <v>18</v>
      </c>
      <c r="P13" s="9">
        <f>O13-N13</f>
        <v>0.0399999999999991</v>
      </c>
      <c r="Q13" s="11">
        <f>O13*0.75-N13</f>
        <v>-4.46</v>
      </c>
    </row>
    <row r="14" spans="1:17">
      <c r="A14" s="3" t="s">
        <v>45</v>
      </c>
      <c r="B14" s="4" t="s">
        <v>46</v>
      </c>
      <c r="C14" s="5" t="s">
        <v>47</v>
      </c>
      <c r="D14" s="5">
        <v>9.7</v>
      </c>
      <c r="E14" s="6">
        <v>2</v>
      </c>
      <c r="F14" s="5">
        <v>69</v>
      </c>
      <c r="G14" s="6">
        <v>3</v>
      </c>
      <c r="H14" s="6"/>
      <c r="K14" s="6">
        <v>1</v>
      </c>
      <c r="L14" s="6">
        <f>E14+G14+J14+H14+I14+K14</f>
        <v>6</v>
      </c>
      <c r="M14" s="7">
        <v>45917</v>
      </c>
      <c r="N14" s="8">
        <v>11.26</v>
      </c>
      <c r="O14" s="9">
        <f>L14*2</f>
        <v>12</v>
      </c>
      <c r="P14" s="14">
        <f>O14-N14</f>
        <v>0.74</v>
      </c>
      <c r="Q14" s="11">
        <f>O14*0.75-N14</f>
        <v>-2.26</v>
      </c>
    </row>
    <row r="15" spans="1:17">
      <c r="A15" s="3" t="s">
        <v>48</v>
      </c>
      <c r="B15" s="4" t="s">
        <v>49</v>
      </c>
      <c r="C15" s="5" t="s">
        <v>50</v>
      </c>
      <c r="D15" s="5">
        <v>9</v>
      </c>
      <c r="E15" s="6">
        <v>2</v>
      </c>
      <c r="F15" s="5">
        <v>95</v>
      </c>
      <c r="G15" s="6">
        <v>4</v>
      </c>
      <c r="H15" s="6">
        <v>1</v>
      </c>
      <c r="K15" s="6">
        <v>1</v>
      </c>
      <c r="L15" s="6">
        <f>E15+G15+J15+H15+I15+K15</f>
        <v>8</v>
      </c>
      <c r="M15" s="7">
        <v>45954</v>
      </c>
      <c r="N15" s="8">
        <v>10.81</v>
      </c>
      <c r="O15" s="9">
        <f>L15*2</f>
        <v>16</v>
      </c>
      <c r="P15" s="9">
        <f>O15-N15</f>
        <v>5.19</v>
      </c>
      <c r="Q15" s="9">
        <f>O15*0.75-N15</f>
        <v>1.19</v>
      </c>
    </row>
    <row r="16" spans="1:17">
      <c r="O16" s="9"/>
      <c r="P16" s="14"/>
    </row>
    <row r="17" spans="1:17">
      <c r="A17" s="3" t="s">
        <v>51</v>
      </c>
      <c r="B17" s="4" t="s">
        <v>52</v>
      </c>
      <c r="C17" s="5" t="s">
        <v>53</v>
      </c>
      <c r="D17" s="5">
        <v>8</v>
      </c>
      <c r="E17" s="6">
        <v>1</v>
      </c>
      <c r="F17" s="5">
        <v>37</v>
      </c>
      <c r="G17" s="6">
        <v>1</v>
      </c>
      <c r="H17" s="6">
        <v>1</v>
      </c>
      <c r="K17" s="6">
        <v>1</v>
      </c>
      <c r="L17" s="6">
        <f>E17+G17+J17+H17+I17+K17</f>
        <v>4</v>
      </c>
      <c r="M17" s="7">
        <v>45873</v>
      </c>
      <c r="N17" s="8">
        <v>5.55</v>
      </c>
      <c r="O17" s="9">
        <f>L17*2</f>
        <v>8</v>
      </c>
      <c r="P17" s="9">
        <f>O17-N17</f>
        <v>2.45</v>
      </c>
      <c r="Q17" s="9">
        <f>O17*0.75-N17</f>
        <v>0.45</v>
      </c>
    </row>
    <row r="18" spans="1:17">
      <c r="A18" s="3" t="s">
        <v>54</v>
      </c>
      <c r="B18" s="4" t="s">
        <v>55</v>
      </c>
      <c r="C18" s="13" t="s">
        <v>56</v>
      </c>
      <c r="D18" s="5">
        <v>11</v>
      </c>
      <c r="E18" s="6">
        <v>2</v>
      </c>
      <c r="F18" s="5">
        <v>25</v>
      </c>
      <c r="G18" s="6">
        <v>1</v>
      </c>
      <c r="H18" s="6">
        <v>1</v>
      </c>
      <c r="K18" s="6">
        <v>1</v>
      </c>
      <c r="L18" s="6">
        <f>E18+G18+J18+H18+I18+K18</f>
        <v>5</v>
      </c>
      <c r="M18" s="7">
        <v>45867</v>
      </c>
      <c r="N18" s="9">
        <v>9.67</v>
      </c>
      <c r="O18" s="9">
        <f>L18*2</f>
        <v>10</v>
      </c>
      <c r="P18" s="9">
        <f>O18-N18</f>
        <v>0.33</v>
      </c>
      <c r="Q18" s="11">
        <f>O18*0.75-N18</f>
        <v>-2.17</v>
      </c>
    </row>
    <row r="19" spans="1:17">
      <c r="P19" s="14"/>
      <c r="Q19" s="10"/>
    </row>
    <row r="20" spans="1:17">
      <c r="A20" s="3" t="s">
        <v>57</v>
      </c>
      <c r="B20" s="4" t="s">
        <v>58</v>
      </c>
      <c r="C20" s="5" t="s">
        <v>59</v>
      </c>
      <c r="N20" s="8">
        <v>4.29</v>
      </c>
      <c r="O20" s="8">
        <v>10</v>
      </c>
      <c r="P20" s="14">
        <f t="shared" ref="P20:P26" si="0">O20-N20</f>
        <v>5.71</v>
      </c>
      <c r="Q20" s="15">
        <f t="shared" ref="Q20:Q26" si="1">O20*0.75-N20</f>
        <v>3.21</v>
      </c>
    </row>
    <row r="21" spans="1:17">
      <c r="A21" s="3" t="s">
        <v>60</v>
      </c>
      <c r="B21" s="4" t="s">
        <v>61</v>
      </c>
      <c r="C21" s="5" t="s">
        <v>62</v>
      </c>
      <c r="N21" s="8">
        <v>4.86</v>
      </c>
      <c r="O21" s="8">
        <v>15</v>
      </c>
      <c r="P21" s="14">
        <f t="shared" si="0"/>
        <v>10.14</v>
      </c>
      <c r="Q21" s="15">
        <f t="shared" si="1"/>
        <v>6.39</v>
      </c>
    </row>
    <row r="22" spans="1:17">
      <c r="A22" s="3" t="s">
        <v>63</v>
      </c>
      <c r="B22" s="4" t="s">
        <v>64</v>
      </c>
      <c r="C22" s="5" t="s">
        <v>62</v>
      </c>
      <c r="N22" s="8">
        <v>6.84</v>
      </c>
      <c r="O22" s="8">
        <v>15</v>
      </c>
      <c r="P22" s="14">
        <f t="shared" si="0"/>
        <v>8.16</v>
      </c>
      <c r="Q22" s="15">
        <f t="shared" si="1"/>
        <v>4.41</v>
      </c>
    </row>
    <row r="23" spans="1:17">
      <c r="A23" s="3" t="s">
        <v>65</v>
      </c>
      <c r="B23" s="4" t="s">
        <v>66</v>
      </c>
      <c r="C23" s="5" t="s">
        <v>67</v>
      </c>
      <c r="N23" s="8">
        <v>44.74</v>
      </c>
      <c r="O23" s="8">
        <v>40</v>
      </c>
      <c r="P23" s="14">
        <f t="shared" si="0"/>
        <v>-4.74</v>
      </c>
      <c r="Q23" s="11">
        <f t="shared" si="1"/>
        <v>-14.74</v>
      </c>
    </row>
    <row r="24" spans="1:17">
      <c r="A24" s="3" t="s">
        <v>68</v>
      </c>
      <c r="B24" s="4" t="s">
        <v>69</v>
      </c>
      <c r="C24" s="5" t="s">
        <v>62</v>
      </c>
      <c r="N24" s="8">
        <v>15.93</v>
      </c>
      <c r="O24" s="8">
        <v>15</v>
      </c>
      <c r="P24" s="14">
        <f t="shared" si="0"/>
        <v>-0.93</v>
      </c>
      <c r="Q24" s="11">
        <f t="shared" si="1"/>
        <v>-4.68</v>
      </c>
    </row>
    <row r="25" spans="1:17">
      <c r="A25" s="3" t="s">
        <v>70</v>
      </c>
      <c r="B25" s="4" t="s">
        <v>71</v>
      </c>
      <c r="C25" s="5" t="s">
        <v>72</v>
      </c>
      <c r="N25" s="8">
        <v>7.05</v>
      </c>
      <c r="O25" s="8">
        <v>10</v>
      </c>
      <c r="P25" s="14">
        <f t="shared" si="0"/>
        <v>2.95</v>
      </c>
      <c r="Q25" s="9">
        <f t="shared" si="1"/>
        <v>0.45</v>
      </c>
    </row>
    <row r="26" spans="1:17">
      <c r="O26" s="9"/>
      <c r="P26" s="14"/>
    </row>
    <row r="27" spans="1:17">
      <c r="A27" s="3" t="s">
        <v>73</v>
      </c>
      <c r="B27" s="4" t="s">
        <v>74</v>
      </c>
      <c r="C27" s="5" t="s">
        <v>75</v>
      </c>
      <c r="N27" s="8">
        <v>36.36</v>
      </c>
      <c r="O27" s="9">
        <v>50</v>
      </c>
      <c r="P27" s="14">
        <f>O27-N27</f>
        <v>13.64</v>
      </c>
      <c r="Q27" s="9">
        <f>O27*0.75-N27</f>
        <v>1.14</v>
      </c>
    </row>
    <row r="28" spans="1:17">
      <c r="O28" s="9"/>
      <c r="P28" s="9"/>
    </row>
    <row r="29" spans="1:17">
      <c r="A29" s="3" t="s">
        <v>76</v>
      </c>
      <c r="B29" s="4" t="s">
        <v>77</v>
      </c>
      <c r="C29" s="5" t="s">
        <v>78</v>
      </c>
      <c r="D29" s="5">
        <v>6.2</v>
      </c>
      <c r="E29" s="6">
        <v>1</v>
      </c>
      <c r="F29" s="5">
        <v>140</v>
      </c>
      <c r="G29" s="6">
        <v>6</v>
      </c>
      <c r="L29" s="6">
        <f>E29+G29+J29+H29+I29+K29</f>
        <v>7</v>
      </c>
      <c r="M29" s="7">
        <v>45889</v>
      </c>
      <c r="N29" s="8">
        <v>7.41</v>
      </c>
      <c r="O29" s="9">
        <f>L29*1</f>
        <v>7</v>
      </c>
      <c r="P29" s="9">
        <f>O29-N29</f>
        <v>-0.41</v>
      </c>
      <c r="Q29" s="11">
        <f>O29*0.75-N29</f>
        <v>-2.16</v>
      </c>
    </row>
    <row r="31" spans="1:17">
      <c r="A31" s="3">
        <v>603833</v>
      </c>
      <c r="B31" s="4" t="s">
        <v>79</v>
      </c>
      <c r="C31" s="5" t="s">
        <v>80</v>
      </c>
      <c r="D31" s="5">
        <v>8</v>
      </c>
      <c r="E31" s="6">
        <v>1</v>
      </c>
      <c r="F31" s="5">
        <v>122</v>
      </c>
      <c r="G31" s="6">
        <v>5</v>
      </c>
      <c r="H31" s="6">
        <v>-1</v>
      </c>
      <c r="L31" s="6">
        <f>E31+G31+J31+H31+I31+K31</f>
        <v>5</v>
      </c>
      <c r="M31" s="7">
        <v>45900</v>
      </c>
      <c r="N31" s="8">
        <v>6.64</v>
      </c>
      <c r="O31" s="9">
        <f>L31*1</f>
        <v>5</v>
      </c>
      <c r="P31" s="9">
        <f>O31-N31</f>
        <v>-1.64</v>
      </c>
      <c r="Q31" s="11">
        <f>O31*0.75-N31</f>
        <v>-2.89</v>
      </c>
    </row>
    <row r="32" spans="1:17">
      <c r="A32" s="3" t="s">
        <v>81</v>
      </c>
      <c r="B32" s="4" t="s">
        <v>82</v>
      </c>
      <c r="C32" s="12" t="s">
        <v>83</v>
      </c>
      <c r="D32" s="5">
        <v>4.6</v>
      </c>
      <c r="E32" s="6">
        <v>0</v>
      </c>
      <c r="F32" s="5">
        <v>84</v>
      </c>
      <c r="G32" s="6">
        <v>4</v>
      </c>
      <c r="L32" s="6">
        <f>E32+G32+J32+H32+I32+K32</f>
        <v>4</v>
      </c>
      <c r="M32" s="7">
        <v>45848</v>
      </c>
      <c r="N32" s="8">
        <v>4.37</v>
      </c>
      <c r="O32" s="9">
        <f>L32*1</f>
        <v>4</v>
      </c>
      <c r="P32" s="9">
        <f>O32-N32</f>
        <v>-0.37</v>
      </c>
      <c r="Q32" s="9">
        <f>O32*0.75-N32</f>
        <v>-1.37</v>
      </c>
    </row>
    <row r="33" spans="1:17">
      <c r="A33" s="3" t="s">
        <v>84</v>
      </c>
      <c r="B33" s="4" t="s">
        <v>85</v>
      </c>
      <c r="C33" s="12" t="s">
        <v>83</v>
      </c>
      <c r="D33" s="5">
        <v>3.5</v>
      </c>
      <c r="E33" s="6">
        <v>0</v>
      </c>
      <c r="F33" s="5">
        <v>81</v>
      </c>
      <c r="G33" s="6">
        <v>4</v>
      </c>
      <c r="L33" s="6">
        <f>E33+G33+J33+H33+I33+K33</f>
        <v>4</v>
      </c>
      <c r="M33" s="7">
        <v>45873</v>
      </c>
      <c r="N33" s="8">
        <v>6.24</v>
      </c>
      <c r="O33" s="9">
        <f>L33*1</f>
        <v>4</v>
      </c>
      <c r="P33" s="9">
        <f>O33-N33</f>
        <v>-2.24</v>
      </c>
      <c r="Q33" s="11">
        <f>O33*0.75-N33</f>
        <v>-3.24</v>
      </c>
    </row>
    <row r="34" spans="1:17">
      <c r="A34" s="3" t="s">
        <v>86</v>
      </c>
      <c r="B34" s="4" t="s">
        <v>87</v>
      </c>
      <c r="C34" s="5" t="s">
        <v>88</v>
      </c>
      <c r="D34" s="5">
        <v>9</v>
      </c>
      <c r="E34" s="6">
        <v>2</v>
      </c>
      <c r="F34" s="5">
        <v>34</v>
      </c>
      <c r="G34" s="6">
        <v>1</v>
      </c>
      <c r="L34" s="6">
        <f>E34+G34+J34+H34+I34+K34</f>
        <v>3</v>
      </c>
      <c r="M34" s="7">
        <v>45891</v>
      </c>
      <c r="N34" s="8">
        <v>3.34</v>
      </c>
      <c r="O34" s="9">
        <f>L34*1</f>
        <v>3</v>
      </c>
      <c r="P34" s="9">
        <f>O34-N34</f>
        <v>-0.34</v>
      </c>
      <c r="Q34" s="9">
        <f>O34*0.75-N34</f>
        <v>-1.09</v>
      </c>
    </row>
    <row r="35" spans="1:17">
      <c r="A35" s="3" t="s">
        <v>89</v>
      </c>
      <c r="B35" s="4" t="s">
        <v>90</v>
      </c>
      <c r="C35" s="13" t="s">
        <v>56</v>
      </c>
      <c r="D35" s="5">
        <v>4</v>
      </c>
      <c r="E35" s="6">
        <v>0</v>
      </c>
      <c r="F35" s="5">
        <v>92</v>
      </c>
      <c r="G35" s="6">
        <v>4</v>
      </c>
      <c r="L35" s="6">
        <f>E35+G35+J35+H35+I35+K35</f>
        <v>4</v>
      </c>
      <c r="M35" s="7">
        <v>45891</v>
      </c>
      <c r="N35" s="8">
        <v>4.65</v>
      </c>
      <c r="O35" s="9">
        <f>L35*1</f>
        <v>4</v>
      </c>
      <c r="P35" s="9">
        <f>O35-N35</f>
        <v>-0.65</v>
      </c>
      <c r="Q35" s="9">
        <f>O35*0.75-N35</f>
        <v>-1.65</v>
      </c>
    </row>
    <row r="36" spans="1:17">
      <c r="A36" s="3" t="s">
        <v>91</v>
      </c>
      <c r="B36" s="4" t="s">
        <v>92</v>
      </c>
      <c r="C36" s="12" t="s">
        <v>25</v>
      </c>
      <c r="D36" s="5">
        <v>7</v>
      </c>
      <c r="E36" s="6">
        <v>1</v>
      </c>
      <c r="F36" s="5">
        <v>150</v>
      </c>
      <c r="G36" s="6">
        <v>6</v>
      </c>
      <c r="H36" s="6"/>
      <c r="L36" s="6">
        <f>E36+G36+J36+H36+I36+K36</f>
        <v>7</v>
      </c>
      <c r="M36" s="7">
        <v>45892</v>
      </c>
      <c r="N36" s="8">
        <v>14</v>
      </c>
      <c r="O36" s="9">
        <f>L36*1</f>
        <v>7</v>
      </c>
      <c r="P36" s="9">
        <f>O36-N36</f>
        <v>-7</v>
      </c>
      <c r="Q36" s="11">
        <f>O36*0.75-N36</f>
        <v>-8.75</v>
      </c>
    </row>
    <row r="37" spans="1:17">
      <c r="A37" s="3" t="s">
        <v>93</v>
      </c>
      <c r="B37" s="4" t="s">
        <v>94</v>
      </c>
      <c r="C37" s="13" t="s">
        <v>33</v>
      </c>
      <c r="D37" s="5">
        <v>5</v>
      </c>
      <c r="E37" s="6">
        <v>0</v>
      </c>
      <c r="F37" s="5">
        <v>114</v>
      </c>
      <c r="G37" s="6">
        <v>5</v>
      </c>
      <c r="H37" s="6">
        <v>-1</v>
      </c>
      <c r="L37" s="6">
        <f>E37+G37+J37+H37+I37+K37</f>
        <v>4</v>
      </c>
      <c r="M37" s="7">
        <v>45895</v>
      </c>
      <c r="N37" s="8">
        <v>6.36</v>
      </c>
      <c r="O37" s="9">
        <f>L37*1</f>
        <v>4</v>
      </c>
      <c r="P37" s="9">
        <f>O37-N37</f>
        <v>-2.36</v>
      </c>
      <c r="Q37" s="11">
        <f>O37*0.75-N37</f>
        <v>-3.36</v>
      </c>
    </row>
    <row r="38" spans="1:17">
      <c r="A38" s="3" t="s">
        <v>95</v>
      </c>
      <c r="B38" s="4" t="s">
        <v>96</v>
      </c>
      <c r="C38" s="12" t="s">
        <v>25</v>
      </c>
      <c r="D38" s="5">
        <v>5</v>
      </c>
      <c r="E38" s="6">
        <v>0</v>
      </c>
      <c r="F38" s="5">
        <v>111</v>
      </c>
      <c r="G38" s="6">
        <v>5</v>
      </c>
      <c r="H38" s="6">
        <v>-1</v>
      </c>
      <c r="L38" s="6">
        <f>E38+G38+J38+H38+I38+K38</f>
        <v>4</v>
      </c>
      <c r="M38" s="7">
        <v>45897</v>
      </c>
      <c r="N38" s="8">
        <v>6.18</v>
      </c>
      <c r="O38" s="9">
        <f>L38*1</f>
        <v>4</v>
      </c>
      <c r="P38" s="9">
        <f>O38-N38</f>
        <v>-2.18</v>
      </c>
      <c r="Q38" s="11">
        <f>O38*0.75-N38</f>
        <v>-3.18</v>
      </c>
    </row>
    <row r="39" spans="1:17">
      <c r="A39" s="3" t="s">
        <v>97</v>
      </c>
      <c r="B39" s="4" t="s">
        <v>98</v>
      </c>
      <c r="C39" s="5" t="s">
        <v>99</v>
      </c>
      <c r="D39" s="5">
        <v>8</v>
      </c>
      <c r="E39" s="6">
        <v>1</v>
      </c>
      <c r="F39" s="5">
        <v>39</v>
      </c>
      <c r="G39" s="6">
        <v>1</v>
      </c>
      <c r="H39" s="6">
        <v>1</v>
      </c>
      <c r="K39" s="6">
        <v>1</v>
      </c>
      <c r="L39" s="6">
        <f>E39+G39+J39+H39+I39+K39</f>
        <v>4</v>
      </c>
      <c r="M39" s="7">
        <v>45888</v>
      </c>
      <c r="N39" s="8">
        <v>3.75</v>
      </c>
      <c r="O39" s="9">
        <f>L39*2</f>
        <v>8</v>
      </c>
      <c r="P39" s="14">
        <f>O39-N39</f>
        <v>4.25</v>
      </c>
      <c r="Q39" s="10">
        <f>O39*0.75-N39</f>
        <v>2.25</v>
      </c>
    </row>
    <row r="40" ht="14" customHeight="1" spans="1:17">
      <c r="A40" s="3" t="s">
        <v>100</v>
      </c>
      <c r="B40" s="4" t="s">
        <v>101</v>
      </c>
      <c r="C40" s="5" t="s">
        <v>102</v>
      </c>
      <c r="D40" s="5">
        <v>12.9</v>
      </c>
      <c r="E40" s="6">
        <v>2</v>
      </c>
      <c r="F40" s="5">
        <v>9</v>
      </c>
      <c r="G40" s="6">
        <v>0</v>
      </c>
      <c r="H40" s="6">
        <v>1</v>
      </c>
      <c r="K40" s="6">
        <v>1</v>
      </c>
      <c r="L40" s="6">
        <f>E40+G40+J40+H40+I40+K40</f>
        <v>4</v>
      </c>
      <c r="M40" s="7">
        <v>45899</v>
      </c>
      <c r="N40" s="8">
        <v>7.29</v>
      </c>
      <c r="O40" s="9">
        <f>L40*2</f>
        <v>8</v>
      </c>
      <c r="P40" s="9">
        <f>O40-N40</f>
        <v>0.71</v>
      </c>
      <c r="Q40" s="9">
        <f>O40*0.75-N40</f>
        <v>-1.29</v>
      </c>
    </row>
    <row r="42" s="1" customFormat="1" spans="1:17">
      <c r="A42" s="16" t="s">
        <v>103</v>
      </c>
      <c r="B42" s="16" t="s">
        <v>104</v>
      </c>
      <c r="C42" s="17" t="s">
        <v>105</v>
      </c>
      <c r="D42" s="17">
        <v>10</v>
      </c>
      <c r="E42" s="18">
        <v>2</v>
      </c>
      <c r="F42" s="17">
        <v>33</v>
      </c>
      <c r="G42" s="18">
        <v>1</v>
      </c>
      <c r="H42" s="18"/>
      <c r="I42" s="18"/>
      <c r="J42" s="18"/>
      <c r="K42" s="18">
        <v>1</v>
      </c>
      <c r="L42" s="18">
        <f>E42+G42+J42+H42+I42+K42</f>
        <v>4</v>
      </c>
      <c r="M42" s="19">
        <v>45888</v>
      </c>
      <c r="N42" s="20">
        <v>3.1</v>
      </c>
      <c r="O42" s="20">
        <f>L42*1</f>
        <v>4</v>
      </c>
      <c r="P42" s="20">
        <f>O42-N42</f>
        <v>0.9</v>
      </c>
      <c r="Q42" s="20">
        <f>O42*0.75-N42</f>
        <v>-0.1</v>
      </c>
    </row>
    <row r="47" s="2" customFormat="1" spans="1:17">
      <c r="A47" s="21" t="s">
        <v>106</v>
      </c>
      <c r="B47" s="21" t="s">
        <v>107</v>
      </c>
      <c r="C47" s="22" t="s">
        <v>108</v>
      </c>
      <c r="D47" s="22">
        <v>3.5</v>
      </c>
      <c r="E47" s="23">
        <v>0</v>
      </c>
      <c r="F47" s="22">
        <v>40</v>
      </c>
      <c r="G47" s="23">
        <v>2</v>
      </c>
      <c r="H47" s="23">
        <v>-1</v>
      </c>
      <c r="I47" s="23"/>
      <c r="J47" s="23"/>
      <c r="K47" s="23"/>
      <c r="L47" s="23">
        <f t="shared" ref="L47:L59" si="2">E47+G47+J47+H47+I47+K47</f>
        <v>1</v>
      </c>
      <c r="M47" s="24">
        <v>45896</v>
      </c>
      <c r="N47" s="25">
        <v>2.46</v>
      </c>
      <c r="O47" s="25">
        <f t="shared" ref="O47:O58" si="3">L47*1</f>
        <v>1</v>
      </c>
      <c r="P47" s="25">
        <f t="shared" ref="P47:P59" si="4">O47-N47</f>
        <v>-1.46</v>
      </c>
      <c r="Q47" s="25"/>
    </row>
    <row r="48" s="2" customFormat="1" spans="1:17">
      <c r="A48" s="32" t="s">
        <v>109</v>
      </c>
      <c r="B48" s="21" t="s">
        <v>110</v>
      </c>
      <c r="C48" s="22" t="s">
        <v>111</v>
      </c>
      <c r="D48" s="22">
        <v>8.5</v>
      </c>
      <c r="E48" s="23">
        <v>1</v>
      </c>
      <c r="F48" s="22">
        <v>49</v>
      </c>
      <c r="G48" s="23">
        <v>2</v>
      </c>
      <c r="H48" s="23"/>
      <c r="I48" s="23"/>
      <c r="J48" s="23"/>
      <c r="K48" s="23"/>
      <c r="L48" s="23">
        <f t="shared" si="2"/>
        <v>3</v>
      </c>
      <c r="M48" s="24">
        <v>45890</v>
      </c>
      <c r="N48" s="25">
        <v>3.12</v>
      </c>
      <c r="O48" s="25">
        <f t="shared" si="3"/>
        <v>3</v>
      </c>
      <c r="P48" s="25">
        <f t="shared" si="4"/>
        <v>-0.12</v>
      </c>
      <c r="Q48" s="26"/>
    </row>
    <row r="49" spans="1:17">
      <c r="A49" s="3" t="s">
        <v>112</v>
      </c>
      <c r="B49" s="27" t="s">
        <v>113</v>
      </c>
      <c r="C49" s="5" t="s">
        <v>38</v>
      </c>
      <c r="D49" s="5">
        <v>1.2</v>
      </c>
      <c r="E49" s="6">
        <v>0</v>
      </c>
      <c r="F49" s="5">
        <v>37</v>
      </c>
      <c r="G49" s="6">
        <v>1</v>
      </c>
      <c r="K49" s="6">
        <v>1</v>
      </c>
      <c r="L49" s="6">
        <f t="shared" si="2"/>
        <v>2</v>
      </c>
      <c r="M49" s="7">
        <v>45897</v>
      </c>
      <c r="N49" s="8">
        <v>4.42</v>
      </c>
      <c r="O49" s="9">
        <f t="shared" si="3"/>
        <v>2</v>
      </c>
      <c r="P49" s="9">
        <f t="shared" si="4"/>
        <v>-2.42</v>
      </c>
    </row>
    <row r="50" s="2" customFormat="1" spans="1:17">
      <c r="A50" s="21" t="s">
        <v>114</v>
      </c>
      <c r="B50" s="21" t="s">
        <v>115</v>
      </c>
      <c r="C50" s="22" t="s">
        <v>116</v>
      </c>
      <c r="D50" s="22">
        <v>8</v>
      </c>
      <c r="E50" s="23">
        <v>1</v>
      </c>
      <c r="F50" s="22">
        <v>40</v>
      </c>
      <c r="G50" s="23">
        <v>2</v>
      </c>
      <c r="H50" s="23"/>
      <c r="I50" s="23"/>
      <c r="J50" s="23"/>
      <c r="K50" s="23"/>
      <c r="L50" s="23">
        <f t="shared" si="2"/>
        <v>3</v>
      </c>
      <c r="M50" s="24">
        <v>45867</v>
      </c>
      <c r="N50" s="25">
        <v>2.3</v>
      </c>
      <c r="O50" s="25">
        <f t="shared" si="3"/>
        <v>3</v>
      </c>
      <c r="P50" s="25">
        <f t="shared" si="4"/>
        <v>0.7</v>
      </c>
      <c r="Q50" s="25"/>
    </row>
    <row r="51" s="2" customFormat="1" spans="1:17">
      <c r="A51" s="21" t="s">
        <v>117</v>
      </c>
      <c r="B51" s="21" t="s">
        <v>118</v>
      </c>
      <c r="C51" s="22" t="s">
        <v>30</v>
      </c>
      <c r="D51" s="22">
        <v>8.2</v>
      </c>
      <c r="E51" s="23">
        <v>1</v>
      </c>
      <c r="F51" s="22">
        <v>35</v>
      </c>
      <c r="G51" s="23">
        <v>1</v>
      </c>
      <c r="H51" s="23"/>
      <c r="I51" s="23"/>
      <c r="J51" s="23"/>
      <c r="K51" s="23"/>
      <c r="L51" s="23">
        <f t="shared" si="2"/>
        <v>2</v>
      </c>
      <c r="M51" s="24">
        <v>45908</v>
      </c>
      <c r="N51" s="25">
        <v>5.36</v>
      </c>
      <c r="O51" s="25">
        <f t="shared" si="3"/>
        <v>2</v>
      </c>
      <c r="P51" s="25">
        <f t="shared" si="4"/>
        <v>-3.36</v>
      </c>
      <c r="Q51" s="25"/>
    </row>
    <row r="52" spans="1:17">
      <c r="A52" s="31" t="s">
        <v>119</v>
      </c>
      <c r="B52" s="27" t="s">
        <v>120</v>
      </c>
      <c r="C52" s="5" t="s">
        <v>121</v>
      </c>
      <c r="D52" s="5">
        <v>12</v>
      </c>
      <c r="E52" s="6">
        <v>2</v>
      </c>
      <c r="F52" s="5">
        <v>48</v>
      </c>
      <c r="G52" s="6">
        <v>2</v>
      </c>
      <c r="L52" s="6">
        <f t="shared" si="2"/>
        <v>4</v>
      </c>
      <c r="M52" s="7">
        <v>45838</v>
      </c>
      <c r="N52" s="8">
        <v>4.22</v>
      </c>
      <c r="O52" s="9">
        <f t="shared" si="3"/>
        <v>4</v>
      </c>
      <c r="P52" s="9">
        <f t="shared" si="4"/>
        <v>-0.22</v>
      </c>
    </row>
    <row r="53" spans="1:17">
      <c r="A53" s="31" t="s">
        <v>122</v>
      </c>
      <c r="B53" s="27" t="s">
        <v>123</v>
      </c>
      <c r="C53" s="5" t="s">
        <v>124</v>
      </c>
      <c r="D53" s="5">
        <v>9</v>
      </c>
      <c r="E53" s="6">
        <v>2</v>
      </c>
      <c r="F53" s="5">
        <v>49</v>
      </c>
      <c r="G53" s="6">
        <v>2</v>
      </c>
      <c r="H53" s="6">
        <v>-1</v>
      </c>
      <c r="K53" s="6">
        <v>1</v>
      </c>
      <c r="L53" s="6">
        <f t="shared" si="2"/>
        <v>4</v>
      </c>
      <c r="M53" s="7">
        <v>45838</v>
      </c>
      <c r="N53" s="8">
        <v>6.11</v>
      </c>
      <c r="O53" s="9">
        <f t="shared" si="3"/>
        <v>4</v>
      </c>
      <c r="P53" s="9">
        <f t="shared" si="4"/>
        <v>-2.11</v>
      </c>
    </row>
    <row r="54" spans="1:17">
      <c r="A54" s="3" t="s">
        <v>125</v>
      </c>
      <c r="B54" s="27" t="s">
        <v>126</v>
      </c>
      <c r="C54" s="13" t="s">
        <v>56</v>
      </c>
      <c r="D54" s="5">
        <v>10</v>
      </c>
      <c r="E54" s="6">
        <v>2</v>
      </c>
      <c r="F54" s="5">
        <v>26</v>
      </c>
      <c r="G54" s="6">
        <v>1</v>
      </c>
      <c r="L54" s="6">
        <f t="shared" si="2"/>
        <v>3</v>
      </c>
      <c r="M54" s="7">
        <v>45861</v>
      </c>
      <c r="N54" s="8">
        <v>3.41</v>
      </c>
      <c r="O54" s="9">
        <f t="shared" si="3"/>
        <v>3</v>
      </c>
      <c r="P54" s="9">
        <f t="shared" si="4"/>
        <v>-0.41</v>
      </c>
    </row>
    <row r="55" s="2" customFormat="1" spans="1:17">
      <c r="A55" s="21" t="s">
        <v>127</v>
      </c>
      <c r="B55" s="21" t="s">
        <v>128</v>
      </c>
      <c r="C55" s="22" t="s">
        <v>30</v>
      </c>
      <c r="D55" s="22">
        <v>8</v>
      </c>
      <c r="E55" s="23">
        <v>1</v>
      </c>
      <c r="F55" s="22">
        <v>60</v>
      </c>
      <c r="G55" s="23">
        <v>3</v>
      </c>
      <c r="H55" s="23">
        <v>-1</v>
      </c>
      <c r="I55" s="23"/>
      <c r="J55" s="23"/>
      <c r="K55" s="23"/>
      <c r="L55" s="23">
        <f t="shared" si="2"/>
        <v>3</v>
      </c>
      <c r="M55" s="24">
        <v>45877</v>
      </c>
      <c r="N55" s="25">
        <v>3.06</v>
      </c>
      <c r="O55" s="25">
        <f t="shared" si="3"/>
        <v>3</v>
      </c>
      <c r="P55" s="25">
        <f t="shared" si="4"/>
        <v>-0.0600000000000001</v>
      </c>
      <c r="Q55" s="25"/>
    </row>
    <row r="56" spans="1:17">
      <c r="C56" s="28"/>
      <c r="O56" s="9"/>
      <c r="P56" s="9"/>
    </row>
    <row r="62" spans="1:17">
      <c r="O62" s="9"/>
      <c r="P62" s="9"/>
    </row>
    <row r="63" spans="1:17">
      <c r="A63" s="27" t="s">
        <v>83</v>
      </c>
      <c r="B63" s="27" t="s">
        <v>129</v>
      </c>
      <c r="C63" s="29" t="s">
        <v>30</v>
      </c>
      <c r="D63" s="29" t="s">
        <v>130</v>
      </c>
      <c r="E63" s="30"/>
      <c r="F63" s="29"/>
      <c r="G63" s="30"/>
      <c r="H63" s="30" t="s">
        <v>124</v>
      </c>
      <c r="I63" s="30" t="s">
        <v>131</v>
      </c>
      <c r="J63" s="30" t="s">
        <v>132</v>
      </c>
      <c r="K63" s="30" t="s">
        <v>133</v>
      </c>
      <c r="O63" s="9"/>
      <c r="P63" s="9"/>
    </row>
    <row r="64" spans="1:17">
      <c r="O64" s="9"/>
      <c r="P64" s="9"/>
    </row>
    <row r="65" spans="1:17">
      <c r="O65" s="9"/>
      <c r="P65" s="9"/>
    </row>
    <row r="66" spans="1:17">
      <c r="O66" s="9"/>
      <c r="P66" s="9"/>
    </row>
    <row r="67" spans="1:17">
      <c r="O67" s="9"/>
      <c r="P67" s="9"/>
    </row>
    <row r="68" spans="1:17">
      <c r="O68" s="9"/>
      <c r="P68" s="9"/>
    </row>
    <row r="69" spans="1:17">
      <c r="O69" s="9"/>
      <c r="P69" s="9"/>
    </row>
    <row r="70" spans="1:17">
      <c r="O70" s="9"/>
      <c r="P70" s="9"/>
    </row>
    <row r="71" spans="1:17">
      <c r="O71" s="9"/>
      <c r="P71" s="9"/>
    </row>
    <row r="72" spans="1:17">
      <c r="A72" s="3" t="s">
        <v>134</v>
      </c>
      <c r="B72" s="4" t="s">
        <v>135</v>
      </c>
      <c r="C72" s="5" t="s">
        <v>136</v>
      </c>
      <c r="D72" s="5">
        <v>3.6</v>
      </c>
      <c r="E72" s="6">
        <v>0</v>
      </c>
      <c r="F72" s="5">
        <v>33</v>
      </c>
      <c r="G72" s="6">
        <v>1</v>
      </c>
      <c r="L72" s="6">
        <f>E72+G72+J72+H72+I72+K72</f>
        <v>1</v>
      </c>
      <c r="M72" s="7">
        <v>45916</v>
      </c>
      <c r="O72" s="9">
        <f>L72*2</f>
        <v>2</v>
      </c>
      <c r="P72" s="14">
        <f>O72-N72</f>
        <v>2</v>
      </c>
      <c r="Q72" s="9">
        <f>O72*0.75-N72</f>
        <v>1.5</v>
      </c>
    </row>
    <row r="73" spans="1:17">
      <c r="A73" s="3" t="s">
        <v>137</v>
      </c>
      <c r="B73" s="4" t="s">
        <v>138</v>
      </c>
      <c r="D73" s="5">
        <v>2</v>
      </c>
      <c r="E73" s="6">
        <v>0</v>
      </c>
      <c r="F73" s="5">
        <v>200</v>
      </c>
      <c r="G73" s="6">
        <v>8</v>
      </c>
      <c r="L73" s="6">
        <f>E73+G73+J73+H73+I73+K73</f>
        <v>8</v>
      </c>
      <c r="M73" s="7">
        <v>45894</v>
      </c>
      <c r="N73" s="8">
        <v>0</v>
      </c>
      <c r="O73" s="9">
        <f>L73*2</f>
        <v>16</v>
      </c>
      <c r="P73" s="9">
        <f>O73-N73</f>
        <v>16</v>
      </c>
    </row>
    <row r="74" spans="1:17">
      <c r="A74" s="3" t="s">
        <v>139</v>
      </c>
      <c r="B74" s="4" t="s">
        <v>140</v>
      </c>
      <c r="D74" s="5">
        <v>5.8</v>
      </c>
      <c r="E74" s="6">
        <v>0</v>
      </c>
      <c r="F74" s="5">
        <v>17</v>
      </c>
      <c r="G74" s="6">
        <v>0</v>
      </c>
      <c r="L74" s="6">
        <f t="shared" ref="L74:L84" si="5">E74+G74+J74+H74+I74+K74</f>
        <v>0</v>
      </c>
      <c r="M74" s="7">
        <v>45848</v>
      </c>
    </row>
    <row r="75" spans="1:17">
      <c r="A75" s="3">
        <v>603173</v>
      </c>
      <c r="B75" s="4" t="s">
        <v>141</v>
      </c>
      <c r="D75" s="5">
        <v>10</v>
      </c>
      <c r="E75" s="6">
        <v>2</v>
      </c>
      <c r="F75" s="5">
        <v>18</v>
      </c>
      <c r="G75" s="6">
        <v>0</v>
      </c>
      <c r="H75" s="6">
        <v>1</v>
      </c>
      <c r="J75" s="6">
        <v>1</v>
      </c>
      <c r="L75" s="6">
        <f t="shared" si="5"/>
        <v>4</v>
      </c>
      <c r="M75" s="7">
        <v>45863</v>
      </c>
    </row>
    <row r="76" spans="1:17">
      <c r="A76" s="3" t="s">
        <v>142</v>
      </c>
      <c r="B76" s="4" t="s">
        <v>143</v>
      </c>
      <c r="D76" s="5">
        <v>14</v>
      </c>
      <c r="E76" s="6">
        <v>2</v>
      </c>
      <c r="F76" s="5">
        <v>30</v>
      </c>
      <c r="G76" s="6">
        <v>0</v>
      </c>
      <c r="H76" s="6">
        <v>1</v>
      </c>
      <c r="L76" s="6">
        <f t="shared" si="5"/>
        <v>3</v>
      </c>
      <c r="M76" s="7">
        <v>45869</v>
      </c>
    </row>
    <row r="77" spans="1:17">
      <c r="A77" s="3" t="s">
        <v>144</v>
      </c>
      <c r="B77" s="4" t="s">
        <v>145</v>
      </c>
      <c r="D77" s="5">
        <v>5</v>
      </c>
      <c r="E77" s="6">
        <v>0</v>
      </c>
      <c r="F77" s="5">
        <v>68</v>
      </c>
      <c r="G77" s="6">
        <v>1</v>
      </c>
      <c r="L77" s="6">
        <f t="shared" si="5"/>
        <v>1</v>
      </c>
      <c r="M77" s="7">
        <v>45878</v>
      </c>
    </row>
    <row r="78" spans="1:17">
      <c r="A78" s="3" t="s">
        <v>146</v>
      </c>
      <c r="B78" s="4" t="s">
        <v>147</v>
      </c>
      <c r="D78" s="5">
        <v>7</v>
      </c>
      <c r="E78" s="6">
        <v>1</v>
      </c>
      <c r="F78" s="5">
        <v>47</v>
      </c>
      <c r="G78" s="6">
        <v>0</v>
      </c>
      <c r="L78" s="6">
        <f t="shared" si="5"/>
        <v>1</v>
      </c>
      <c r="M78" s="7">
        <v>45878</v>
      </c>
    </row>
    <row r="79" spans="1:17">
      <c r="A79" s="3" t="s">
        <v>148</v>
      </c>
      <c r="B79" s="4" t="s">
        <v>149</v>
      </c>
      <c r="D79" s="5">
        <v>10</v>
      </c>
      <c r="F79" s="5">
        <v>67</v>
      </c>
      <c r="L79" s="6">
        <f t="shared" si="5"/>
        <v>0</v>
      </c>
      <c r="M79" s="7">
        <v>45881</v>
      </c>
    </row>
    <row r="80" spans="1:17">
      <c r="A80" s="3" t="s">
        <v>150</v>
      </c>
      <c r="B80" s="4" t="s">
        <v>151</v>
      </c>
      <c r="D80" s="5">
        <v>7</v>
      </c>
      <c r="F80" s="5">
        <v>90</v>
      </c>
      <c r="L80" s="6">
        <f t="shared" si="5"/>
        <v>0</v>
      </c>
      <c r="M80" s="7">
        <v>45881</v>
      </c>
    </row>
    <row r="93" spans="1:13">
      <c r="A93" s="3" t="s">
        <v>152</v>
      </c>
      <c r="B93" s="4" t="s">
        <v>153</v>
      </c>
      <c r="D93" s="5">
        <v>9</v>
      </c>
      <c r="E93" s="6">
        <v>2</v>
      </c>
      <c r="F93" s="5">
        <v>110</v>
      </c>
      <c r="G93" s="6">
        <v>3</v>
      </c>
      <c r="M93" s="7">
        <v>45878</v>
      </c>
    </row>
    <row r="94" spans="1:13">
      <c r="A94" s="3" t="s">
        <v>154</v>
      </c>
      <c r="B94" s="4" t="s">
        <v>155</v>
      </c>
      <c r="D94" s="5">
        <v>9</v>
      </c>
      <c r="E94" s="6">
        <v>2</v>
      </c>
      <c r="F94" s="5">
        <v>140</v>
      </c>
      <c r="G94" s="6">
        <v>4</v>
      </c>
      <c r="M94" s="7">
        <v>45878</v>
      </c>
    </row>
    <row r="95" spans="1:13">
      <c r="A95" s="3" t="s">
        <v>156</v>
      </c>
      <c r="B95" s="4" t="s">
        <v>157</v>
      </c>
      <c r="D95" s="5">
        <v>9</v>
      </c>
      <c r="E95" s="6">
        <v>2</v>
      </c>
      <c r="F95" s="5">
        <v>90</v>
      </c>
      <c r="G95" s="6">
        <v>2</v>
      </c>
      <c r="M95" s="7">
        <v>45878</v>
      </c>
    </row>
    <row r="96" spans="1:13">
      <c r="A96" s="3" t="s">
        <v>158</v>
      </c>
      <c r="B96" s="4" t="s">
        <v>159</v>
      </c>
      <c r="D96" s="5">
        <v>11</v>
      </c>
      <c r="E96" s="6">
        <v>2</v>
      </c>
      <c r="F96" s="5">
        <v>150</v>
      </c>
      <c r="G96" s="6">
        <v>4</v>
      </c>
      <c r="M96" s="7">
        <v>45878</v>
      </c>
    </row>
    <row r="97" spans="1:13">
      <c r="A97" s="3" t="s">
        <v>160</v>
      </c>
      <c r="B97" s="4" t="s">
        <v>161</v>
      </c>
      <c r="D97" s="5">
        <v>10</v>
      </c>
      <c r="E97" s="6">
        <v>2</v>
      </c>
      <c r="F97" s="5">
        <v>60</v>
      </c>
      <c r="G97" s="6">
        <v>1</v>
      </c>
      <c r="M97" s="7">
        <v>45878</v>
      </c>
    </row>
  </sheetData>
  <pageMargins left="0.7" right="0.7" top="0.75" bottom="0.75" header="0.3" footer="0.3"/>
  <pageSetup paperSize="9" orientation="portrait"/>
  <headerFooter/>
  <ignoredErrors>
    <ignoredError sqref="A27:Q35 A36:G38 I36:Q38 A39:Q97 A20:Q25 A1:Q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zoomScale="115" zoomScaleNormal="115" workbookViewId="0">
      <selection activeCell="D8" sqref="D8"/>
    </sheetView>
  </sheetViews>
  <sheetFormatPr defaultColWidth="9" defaultRowHeight="13.5" outlineLevelCol="1"/>
  <sheetData>
    <row r="1" spans="1:2">
      <c r="A1" t="s">
        <v>162</v>
      </c>
      <c r="B1">
        <v>1</v>
      </c>
    </row>
    <row r="2" spans="1:2">
      <c r="A2" t="s">
        <v>163</v>
      </c>
      <c r="B2">
        <v>2</v>
      </c>
    </row>
    <row r="3" spans="1:2">
      <c r="A3" t="s">
        <v>164</v>
      </c>
      <c r="B3">
        <v>3</v>
      </c>
    </row>
    <row r="4" spans="1:2">
      <c r="A4" t="s">
        <v>165</v>
      </c>
      <c r="B4">
        <v>4</v>
      </c>
    </row>
    <row r="5" spans="1:2">
      <c r="A5" t="s">
        <v>166</v>
      </c>
      <c r="B5">
        <v>5</v>
      </c>
    </row>
    <row r="6" spans="1:2">
      <c r="A6" t="s">
        <v>167</v>
      </c>
      <c r="B6">
        <v>6</v>
      </c>
    </row>
    <row r="7" spans="1:2">
      <c r="A7" t="s">
        <v>168</v>
      </c>
      <c r="B7">
        <v>7</v>
      </c>
    </row>
    <row r="8" spans="1:2">
      <c r="A8" t="s">
        <v>169</v>
      </c>
      <c r="B8">
        <v>8</v>
      </c>
    </row>
    <row r="9" spans="1:2">
      <c r="A9" t="s">
        <v>170</v>
      </c>
      <c r="B9">
        <v>9</v>
      </c>
    </row>
    <row r="10" spans="1:2">
      <c r="A10" t="s">
        <v>171</v>
      </c>
      <c r="B10">
        <v>10</v>
      </c>
    </row>
    <row r="11" spans="1:2">
      <c r="A11" t="s">
        <v>172</v>
      </c>
      <c r="B11">
        <v>11</v>
      </c>
    </row>
    <row r="12" spans="1:2">
      <c r="A12" t="s">
        <v>173</v>
      </c>
      <c r="B12">
        <v>12</v>
      </c>
    </row>
    <row r="13" spans="1:2">
      <c r="A13" t="s">
        <v>174</v>
      </c>
      <c r="B13">
        <v>13</v>
      </c>
    </row>
    <row r="14" spans="1:2">
      <c r="A14" t="s">
        <v>175</v>
      </c>
      <c r="B14">
        <v>14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长线持仓</vt:lpstr>
      <vt:lpstr>对照表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2025-11-04T07:59:04Z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939373AEC42D4E308BFAF73B9F047D0B_12</vt:lpwstr>
  </property>
</Properties>
</file>